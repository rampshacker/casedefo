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kan\Downloads\"/>
    </mc:Choice>
  </mc:AlternateContent>
  <xr:revisionPtr revIDLastSave="0" documentId="13_ncr:1_{0AFB6A20-56B6-4B78-B96A-547943C66A2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eptember Expenses" sheetId="1" r:id="rId1"/>
    <sheet name="October Expenses " sheetId="2" r:id="rId2"/>
    <sheet name="November Expenses" sheetId="3" r:id="rId3"/>
  </sheets>
  <calcPr calcId="181029"/>
</workbook>
</file>

<file path=xl/calcChain.xml><?xml version="1.0" encoding="utf-8"?>
<calcChain xmlns="http://schemas.openxmlformats.org/spreadsheetml/2006/main">
  <c r="G4" i="2" l="1"/>
  <c r="G4" i="1"/>
  <c r="F22" i="3"/>
  <c r="E21" i="3"/>
  <c r="F23" i="3"/>
  <c r="M19" i="3"/>
  <c r="E29" i="3"/>
  <c r="K21" i="3"/>
  <c r="K16" i="3"/>
  <c r="K10" i="3"/>
  <c r="G7" i="3"/>
  <c r="K5" i="3"/>
  <c r="K7" i="3" s="1"/>
  <c r="G29" i="3"/>
  <c r="G3" i="3"/>
  <c r="G4" i="3"/>
  <c r="G5" i="3"/>
  <c r="G6" i="3"/>
  <c r="G2" i="3"/>
  <c r="F29" i="3"/>
  <c r="G16" i="3"/>
  <c r="G15" i="3"/>
  <c r="C15" i="3"/>
  <c r="G14" i="3"/>
  <c r="C14" i="3"/>
  <c r="G13" i="3"/>
  <c r="C13" i="3"/>
  <c r="F30" i="2"/>
  <c r="G17" i="2"/>
  <c r="G16" i="2"/>
  <c r="G14" i="2"/>
  <c r="K6" i="2"/>
  <c r="G6" i="1"/>
  <c r="M6" i="1"/>
  <c r="G3" i="1"/>
  <c r="G5" i="1"/>
  <c r="G2" i="1"/>
  <c r="F22" i="1"/>
  <c r="F29" i="1" s="1"/>
  <c r="G35" i="2"/>
  <c r="F27" i="2"/>
  <c r="F35" i="2" s="1"/>
  <c r="E25" i="2"/>
  <c r="E35" i="2" s="1"/>
  <c r="G20" i="2"/>
  <c r="G18" i="2"/>
  <c r="C16" i="2"/>
  <c r="G15" i="2"/>
  <c r="C15" i="2"/>
  <c r="C14" i="2"/>
  <c r="G8" i="2"/>
  <c r="G7" i="2"/>
  <c r="G6" i="2"/>
  <c r="G5" i="2"/>
  <c r="G3" i="2"/>
  <c r="G2" i="2"/>
  <c r="G29" i="1"/>
  <c r="E19" i="1"/>
  <c r="E29" i="1" s="1"/>
  <c r="G13" i="1"/>
  <c r="G14" i="1"/>
  <c r="G12" i="1"/>
  <c r="C14" i="1"/>
  <c r="C13" i="1"/>
  <c r="C12" i="1"/>
  <c r="D14" i="2" l="1"/>
  <c r="D15" i="2"/>
  <c r="D16" i="2"/>
  <c r="G19" i="3"/>
  <c r="G8" i="3"/>
  <c r="G23" i="2"/>
  <c r="G9" i="2"/>
  <c r="G7" i="1"/>
  <c r="D14" i="1" s="1"/>
  <c r="G17" i="1"/>
  <c r="D15" i="3" l="1"/>
  <c r="D14" i="3"/>
  <c r="D13" i="3"/>
  <c r="D12" i="1"/>
  <c r="D13" i="1"/>
</calcChain>
</file>

<file path=xl/sharedStrings.xml><?xml version="1.0" encoding="utf-8"?>
<sst xmlns="http://schemas.openxmlformats.org/spreadsheetml/2006/main" count="159" uniqueCount="91">
  <si>
    <t>Category</t>
  </si>
  <si>
    <t>Details</t>
  </si>
  <si>
    <t>Total (kg)</t>
  </si>
  <si>
    <t>Grand Total (kg)</t>
  </si>
  <si>
    <t>2 kgs / day</t>
  </si>
  <si>
    <t>Birth Date</t>
  </si>
  <si>
    <t>1kg / day</t>
  </si>
  <si>
    <t>After Weaning (2kg/day)</t>
  </si>
  <si>
    <t>With Piglets (5kg/day)</t>
  </si>
  <si>
    <t>0.5kg/day</t>
  </si>
  <si>
    <t xml:space="preserve">Soya </t>
  </si>
  <si>
    <t>Price</t>
  </si>
  <si>
    <t xml:space="preserve">Work suit+ Gumboots </t>
  </si>
  <si>
    <t>Rent September&amp; October</t>
  </si>
  <si>
    <t>Hose Pipe  30m</t>
  </si>
  <si>
    <t>Pay</t>
  </si>
  <si>
    <t>Ratio / Tonne</t>
  </si>
  <si>
    <t>Servicing Guilts</t>
  </si>
  <si>
    <t>KGs Needed</t>
  </si>
  <si>
    <t>October Expenses</t>
  </si>
  <si>
    <t>Cruches(20 kg)</t>
  </si>
  <si>
    <t>Premix()</t>
  </si>
  <si>
    <t>Rounded Off /bag</t>
  </si>
  <si>
    <t>Yami</t>
  </si>
  <si>
    <t>Kali</t>
  </si>
  <si>
    <t>Mike</t>
  </si>
  <si>
    <t>Soya</t>
  </si>
  <si>
    <t>Premix</t>
  </si>
  <si>
    <t>Crushes</t>
  </si>
  <si>
    <t>Servicing</t>
  </si>
  <si>
    <t>Rent</t>
  </si>
  <si>
    <t>Work suit+ Gumboots</t>
  </si>
  <si>
    <t>Hosepipe</t>
  </si>
  <si>
    <t>Farrow Sure</t>
  </si>
  <si>
    <t>Creep</t>
  </si>
  <si>
    <t>Hay</t>
  </si>
  <si>
    <t>Pain Strip + Dhiba +Injections</t>
  </si>
  <si>
    <t>September Expenses</t>
  </si>
  <si>
    <t>0.5kg / day</t>
  </si>
  <si>
    <t>Daily Consumption</t>
  </si>
  <si>
    <t>Days</t>
  </si>
  <si>
    <t>Iron</t>
  </si>
  <si>
    <t>Rent September</t>
  </si>
  <si>
    <t>15 kgs</t>
  </si>
  <si>
    <t>100kgs</t>
  </si>
  <si>
    <t>50 doses</t>
  </si>
  <si>
    <t>6 bales</t>
  </si>
  <si>
    <t>24*</t>
  </si>
  <si>
    <t>12 buckets</t>
  </si>
  <si>
    <t>200kgs</t>
  </si>
  <si>
    <t>30kgs</t>
  </si>
  <si>
    <t>480kgs</t>
  </si>
  <si>
    <t>25m</t>
  </si>
  <si>
    <t>50kgs</t>
  </si>
  <si>
    <t>2 doses</t>
  </si>
  <si>
    <t>2 gilts</t>
  </si>
  <si>
    <t>KGs/Day</t>
  </si>
  <si>
    <t># of Pigs</t>
  </si>
  <si>
    <t># of days</t>
  </si>
  <si>
    <t>Rent  October+November</t>
  </si>
  <si>
    <t>Notes</t>
  </si>
  <si>
    <t xml:space="preserve"> serviced 20/10/2025</t>
  </si>
  <si>
    <t>15+15</t>
  </si>
  <si>
    <t xml:space="preserve"> serviced 22/09/2025</t>
  </si>
  <si>
    <t xml:space="preserve"> serviced 24/09/2025</t>
  </si>
  <si>
    <t>48 Kgs</t>
  </si>
  <si>
    <t>1177kgs</t>
  </si>
  <si>
    <t>Limoxin</t>
  </si>
  <si>
    <t>Ivermectin</t>
  </si>
  <si>
    <t>525kgs(36 buckets)</t>
  </si>
  <si>
    <t>Cement</t>
  </si>
  <si>
    <t>First Attempt(22/10/2025)Serviced 14 /11/25</t>
  </si>
  <si>
    <t>Breakdown of Expenses Incurred</t>
  </si>
  <si>
    <t>Breakdown Of Expenses Incurred</t>
  </si>
  <si>
    <t>A1</t>
  </si>
  <si>
    <t>A2</t>
  </si>
  <si>
    <t>A3</t>
  </si>
  <si>
    <t>Pregnant</t>
  </si>
  <si>
    <t>Dry</t>
  </si>
  <si>
    <t>A4</t>
  </si>
  <si>
    <t>Batch B (20)</t>
  </si>
  <si>
    <t>From A3 and A4</t>
  </si>
  <si>
    <t>Purchase Pregnant Sow(A2)</t>
  </si>
  <si>
    <t>serviced gilt</t>
  </si>
  <si>
    <t>Batch B</t>
  </si>
  <si>
    <t>Batch C</t>
  </si>
  <si>
    <t>1-15 Nov(1.5Kg/ day)- 20piglets</t>
  </si>
  <si>
    <t>Weaned 15 Oct- 20 weaners</t>
  </si>
  <si>
    <t>5kg/day and 2kg/day</t>
  </si>
  <si>
    <t>6 Sep- Weaned 15 Oct</t>
  </si>
  <si>
    <t>10 Sep- Weaned 15 Oct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</si>
</sst>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0" fontId="4" fillId="0" borderId="1" xfId="0" applyFont="1" applyBorder="1" applyAlignment="1">
      <alignment horizontal="center" vertical="top"/>
    </xf>
    <xf numFmtId="16" fontId="0" fillId="0" borderId="0" xfId="0" applyNumberFormat="1"/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29"/>
  <sheetViews>
    <sheetView workbookViewId="0">
      <selection activeCell="B28" sqref="B28"/>
    </sheetView>
  </sheetViews>
  <sheetFormatPr defaultRowHeight="15" x14ac:dyDescent="0.25"/>
  <cols>
    <col min="2" max="2" width="22.7109375" bestFit="1" customWidth="1"/>
    <col min="3" max="3" width="18.140625" bestFit="1" customWidth="1"/>
    <col min="4" max="4" width="22.28515625" customWidth="1"/>
    <col min="5" max="5" width="19.85546875" bestFit="1" customWidth="1"/>
    <col min="6" max="6" width="22.28515625" bestFit="1" customWidth="1"/>
    <col min="7" max="7" width="11.28515625" bestFit="1" customWidth="1"/>
  </cols>
  <sheetData>
    <row r="1" spans="2:13" x14ac:dyDescent="0.25">
      <c r="B1" s="1" t="s">
        <v>60</v>
      </c>
      <c r="C1" s="1" t="s">
        <v>0</v>
      </c>
      <c r="D1" s="1" t="s">
        <v>1</v>
      </c>
      <c r="E1" s="5" t="s">
        <v>40</v>
      </c>
      <c r="F1" s="5" t="s">
        <v>39</v>
      </c>
      <c r="G1" s="1" t="s">
        <v>2</v>
      </c>
    </row>
    <row r="2" spans="2:13" x14ac:dyDescent="0.25">
      <c r="B2" t="s">
        <v>77</v>
      </c>
      <c r="C2" t="s">
        <v>74</v>
      </c>
      <c r="D2" t="s">
        <v>4</v>
      </c>
      <c r="E2">
        <v>30</v>
      </c>
      <c r="F2">
        <v>2</v>
      </c>
      <c r="G2">
        <f>(E2*F2)</f>
        <v>60</v>
      </c>
    </row>
    <row r="3" spans="2:13" x14ac:dyDescent="0.25">
      <c r="B3" t="s">
        <v>77</v>
      </c>
      <c r="C3" t="s">
        <v>75</v>
      </c>
      <c r="D3" t="s">
        <v>4</v>
      </c>
      <c r="E3">
        <v>30</v>
      </c>
      <c r="F3">
        <v>2</v>
      </c>
      <c r="G3">
        <f t="shared" ref="G3:G6" si="0">(E3*F3)</f>
        <v>60</v>
      </c>
    </row>
    <row r="4" spans="2:13" x14ac:dyDescent="0.25">
      <c r="B4" t="s">
        <v>78</v>
      </c>
      <c r="C4" t="s">
        <v>76</v>
      </c>
      <c r="D4" t="s">
        <v>4</v>
      </c>
      <c r="E4">
        <v>30</v>
      </c>
      <c r="F4">
        <v>2</v>
      </c>
      <c r="G4">
        <f t="shared" si="0"/>
        <v>60</v>
      </c>
    </row>
    <row r="5" spans="2:13" x14ac:dyDescent="0.25">
      <c r="B5" t="s">
        <v>78</v>
      </c>
      <c r="C5" t="s">
        <v>79</v>
      </c>
      <c r="D5" t="s">
        <v>4</v>
      </c>
      <c r="E5">
        <v>30</v>
      </c>
      <c r="F5">
        <v>2</v>
      </c>
      <c r="G5">
        <f t="shared" si="0"/>
        <v>60</v>
      </c>
    </row>
    <row r="6" spans="2:13" x14ac:dyDescent="0.25">
      <c r="B6" t="s">
        <v>81</v>
      </c>
      <c r="C6" t="s">
        <v>80</v>
      </c>
      <c r="D6" t="s">
        <v>38</v>
      </c>
      <c r="E6">
        <v>30</v>
      </c>
      <c r="F6">
        <v>10</v>
      </c>
      <c r="G6">
        <f t="shared" si="0"/>
        <v>300</v>
      </c>
      <c r="M6">
        <f>0.5*20</f>
        <v>10</v>
      </c>
    </row>
    <row r="7" spans="2:13" x14ac:dyDescent="0.25">
      <c r="B7" t="s">
        <v>3</v>
      </c>
      <c r="G7">
        <f>SUM(G2:G6)</f>
        <v>540</v>
      </c>
    </row>
    <row r="11" spans="2:13" x14ac:dyDescent="0.25">
      <c r="B11" s="3" t="s">
        <v>37</v>
      </c>
      <c r="C11" s="3" t="s">
        <v>16</v>
      </c>
      <c r="D11" s="3" t="s">
        <v>18</v>
      </c>
      <c r="E11" s="3" t="s">
        <v>22</v>
      </c>
      <c r="F11" s="3" t="s">
        <v>11</v>
      </c>
      <c r="G11" s="3"/>
    </row>
    <row r="12" spans="2:13" x14ac:dyDescent="0.25">
      <c r="B12" s="4" t="s">
        <v>20</v>
      </c>
      <c r="C12" s="4">
        <f>740/1000</f>
        <v>0.74</v>
      </c>
      <c r="D12" s="4">
        <f>G7*C12</f>
        <v>399.6</v>
      </c>
      <c r="E12" s="4">
        <v>42</v>
      </c>
      <c r="F12" s="4">
        <v>3</v>
      </c>
      <c r="G12" s="4">
        <f>E12*F12</f>
        <v>126</v>
      </c>
    </row>
    <row r="13" spans="2:13" x14ac:dyDescent="0.25">
      <c r="B13" s="4" t="s">
        <v>21</v>
      </c>
      <c r="C13" s="4">
        <f>30/1000</f>
        <v>0.03</v>
      </c>
      <c r="D13" s="4">
        <f>G7*C13</f>
        <v>16.2</v>
      </c>
      <c r="E13" s="4">
        <v>2</v>
      </c>
      <c r="F13" s="4">
        <v>13</v>
      </c>
      <c r="G13" s="4">
        <f t="shared" ref="G13:G14" si="1">E13*F13</f>
        <v>26</v>
      </c>
    </row>
    <row r="14" spans="2:13" x14ac:dyDescent="0.25">
      <c r="B14" s="4" t="s">
        <v>10</v>
      </c>
      <c r="C14" s="4">
        <f>330/1000</f>
        <v>0.33</v>
      </c>
      <c r="D14" s="4">
        <f>G7*C14</f>
        <v>178.20000000000002</v>
      </c>
      <c r="E14" s="4">
        <v>8</v>
      </c>
      <c r="F14" s="4">
        <v>36</v>
      </c>
      <c r="G14" s="4">
        <f t="shared" si="1"/>
        <v>288</v>
      </c>
    </row>
    <row r="15" spans="2:13" x14ac:dyDescent="0.25">
      <c r="B15" s="4" t="s">
        <v>42</v>
      </c>
      <c r="C15" s="4"/>
      <c r="D15" s="4"/>
      <c r="E15" s="4"/>
      <c r="F15" s="4"/>
      <c r="G15" s="4">
        <v>85</v>
      </c>
    </row>
    <row r="16" spans="2:13" x14ac:dyDescent="0.25">
      <c r="B16" s="4" t="s">
        <v>15</v>
      </c>
      <c r="C16" s="4"/>
      <c r="D16" s="4"/>
      <c r="E16" s="4"/>
      <c r="F16" s="4"/>
      <c r="G16" s="4">
        <v>60</v>
      </c>
    </row>
    <row r="17" spans="2:7" x14ac:dyDescent="0.25">
      <c r="G17" s="2">
        <f>SUM(G12:G16)</f>
        <v>585</v>
      </c>
    </row>
    <row r="18" spans="2:7" ht="30" customHeight="1" x14ac:dyDescent="0.25">
      <c r="B18" s="7" t="s">
        <v>72</v>
      </c>
      <c r="C18" s="8"/>
      <c r="D18" s="9"/>
      <c r="E18" s="3" t="s">
        <v>23</v>
      </c>
      <c r="F18" s="3" t="s">
        <v>25</v>
      </c>
      <c r="G18" s="3" t="s">
        <v>24</v>
      </c>
    </row>
    <row r="19" spans="2:7" x14ac:dyDescent="0.25">
      <c r="B19" s="4" t="s">
        <v>26</v>
      </c>
      <c r="C19" s="4" t="s">
        <v>44</v>
      </c>
      <c r="D19" s="4"/>
      <c r="E19" s="4">
        <f>36*4</f>
        <v>144</v>
      </c>
      <c r="F19" s="4">
        <v>0</v>
      </c>
      <c r="G19" s="4">
        <v>0</v>
      </c>
    </row>
    <row r="20" spans="2:7" x14ac:dyDescent="0.25">
      <c r="B20" s="4" t="s">
        <v>27</v>
      </c>
      <c r="C20" s="4" t="s">
        <v>43</v>
      </c>
      <c r="D20" s="4"/>
      <c r="E20" s="4">
        <v>0</v>
      </c>
      <c r="F20" s="4">
        <v>24</v>
      </c>
      <c r="G20" s="4">
        <v>0</v>
      </c>
    </row>
    <row r="21" spans="2:7" x14ac:dyDescent="0.25">
      <c r="B21" s="4" t="s">
        <v>41</v>
      </c>
      <c r="C21" s="4" t="s">
        <v>45</v>
      </c>
      <c r="D21" s="4"/>
      <c r="E21" s="4">
        <v>0</v>
      </c>
      <c r="F21" s="4">
        <v>9</v>
      </c>
      <c r="G21" s="4">
        <v>0</v>
      </c>
    </row>
    <row r="22" spans="2:7" x14ac:dyDescent="0.25">
      <c r="B22" s="4" t="s">
        <v>28</v>
      </c>
      <c r="C22" s="4" t="s">
        <v>48</v>
      </c>
      <c r="D22" s="4"/>
      <c r="E22" s="4">
        <v>0</v>
      </c>
      <c r="F22" s="4">
        <f>3*12</f>
        <v>36</v>
      </c>
      <c r="G22" s="4">
        <v>0</v>
      </c>
    </row>
    <row r="23" spans="2:7" x14ac:dyDescent="0.25">
      <c r="B23" s="4" t="s">
        <v>36</v>
      </c>
      <c r="C23" s="4"/>
      <c r="D23" s="4"/>
      <c r="E23" s="4">
        <v>0</v>
      </c>
      <c r="F23" s="4">
        <v>19</v>
      </c>
      <c r="G23" s="4">
        <v>0</v>
      </c>
    </row>
    <row r="24" spans="2:7" x14ac:dyDescent="0.25">
      <c r="B24" s="4" t="s">
        <v>70</v>
      </c>
      <c r="C24" s="4"/>
      <c r="D24" s="4"/>
      <c r="E24" s="4">
        <v>0</v>
      </c>
      <c r="F24" s="4">
        <v>11.5</v>
      </c>
      <c r="G24" s="4">
        <v>0</v>
      </c>
    </row>
    <row r="25" spans="2:7" x14ac:dyDescent="0.25">
      <c r="B25" s="4" t="s">
        <v>30</v>
      </c>
      <c r="C25" s="4"/>
      <c r="D25" s="4"/>
      <c r="E25" s="4">
        <v>0</v>
      </c>
      <c r="F25" s="4">
        <v>0</v>
      </c>
      <c r="G25" s="4">
        <v>0</v>
      </c>
    </row>
    <row r="26" spans="2:7" x14ac:dyDescent="0.25">
      <c r="B26" s="4" t="s">
        <v>35</v>
      </c>
      <c r="C26" s="4" t="s">
        <v>46</v>
      </c>
      <c r="D26" s="4"/>
      <c r="E26" s="4">
        <v>0</v>
      </c>
      <c r="F26" s="4">
        <v>18</v>
      </c>
      <c r="G26" s="4">
        <v>0</v>
      </c>
    </row>
    <row r="27" spans="2:7" x14ac:dyDescent="0.25">
      <c r="B27" s="4" t="s">
        <v>15</v>
      </c>
      <c r="C27" s="4"/>
      <c r="D27" s="4"/>
      <c r="E27" s="4">
        <v>0</v>
      </c>
      <c r="F27" s="4">
        <v>60</v>
      </c>
      <c r="G27" s="4">
        <v>0</v>
      </c>
    </row>
    <row r="28" spans="2:7" x14ac:dyDescent="0.25">
      <c r="B28" s="4" t="s">
        <v>82</v>
      </c>
      <c r="C28" s="4"/>
      <c r="D28" s="4"/>
      <c r="E28" s="4">
        <v>200</v>
      </c>
      <c r="F28" s="4">
        <v>200</v>
      </c>
      <c r="G28" s="4">
        <v>0</v>
      </c>
    </row>
    <row r="29" spans="2:7" x14ac:dyDescent="0.25">
      <c r="E29" s="2">
        <f>SUM(E19:E28)</f>
        <v>344</v>
      </c>
      <c r="F29" s="2">
        <f>SUM(F19:F28)</f>
        <v>377.5</v>
      </c>
      <c r="G29" s="2">
        <f>SUM(G19:G28)</f>
        <v>0</v>
      </c>
    </row>
  </sheetData>
  <mergeCells count="1">
    <mergeCell ref="B18:D18"/>
  </mergeCells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C1837-EBDF-4DF2-B277-AC1866BF645F}">
  <dimension ref="B1:M35"/>
  <sheetViews>
    <sheetView tabSelected="1" workbookViewId="0">
      <selection activeCell="M18" sqref="M18"/>
    </sheetView>
  </sheetViews>
  <sheetFormatPr defaultRowHeight="15" x14ac:dyDescent="0.25"/>
  <cols>
    <col min="2" max="2" width="22.7109375" bestFit="1" customWidth="1"/>
    <col min="3" max="3" width="18.140625" bestFit="1" customWidth="1"/>
    <col min="4" max="4" width="22.28515625" customWidth="1"/>
    <col min="5" max="5" width="19.85546875" bestFit="1" customWidth="1"/>
    <col min="6" max="6" width="17" bestFit="1" customWidth="1"/>
    <col min="7" max="7" width="11.28515625" bestFit="1" customWidth="1"/>
  </cols>
  <sheetData>
    <row r="1" spans="2:13" x14ac:dyDescent="0.25">
      <c r="B1" s="1" t="s">
        <v>5</v>
      </c>
      <c r="C1" s="1" t="s">
        <v>0</v>
      </c>
      <c r="D1" s="1" t="s">
        <v>1</v>
      </c>
      <c r="E1" s="1" t="s">
        <v>8</v>
      </c>
      <c r="F1" s="1" t="s">
        <v>7</v>
      </c>
      <c r="G1" s="1" t="s">
        <v>2</v>
      </c>
    </row>
    <row r="2" spans="2:13" x14ac:dyDescent="0.25">
      <c r="B2" t="s">
        <v>89</v>
      </c>
      <c r="C2" t="s">
        <v>74</v>
      </c>
      <c r="D2" t="s">
        <v>88</v>
      </c>
      <c r="E2">
        <v>55</v>
      </c>
      <c r="F2">
        <v>40</v>
      </c>
      <c r="G2">
        <f t="shared" ref="G2:G8" si="0">SUM(E2,F2)</f>
        <v>95</v>
      </c>
    </row>
    <row r="3" spans="2:13" x14ac:dyDescent="0.25">
      <c r="B3" t="s">
        <v>90</v>
      </c>
      <c r="C3" t="s">
        <v>75</v>
      </c>
      <c r="D3" t="s">
        <v>88</v>
      </c>
      <c r="E3">
        <v>125</v>
      </c>
      <c r="F3">
        <v>12</v>
      </c>
      <c r="G3">
        <f t="shared" si="0"/>
        <v>137</v>
      </c>
    </row>
    <row r="4" spans="2:13" x14ac:dyDescent="0.25">
      <c r="B4" t="s">
        <v>83</v>
      </c>
      <c r="C4" t="s">
        <v>76</v>
      </c>
      <c r="D4" t="s">
        <v>4</v>
      </c>
      <c r="F4">
        <v>62</v>
      </c>
      <c r="G4">
        <f t="shared" si="0"/>
        <v>62</v>
      </c>
    </row>
    <row r="5" spans="2:13" x14ac:dyDescent="0.25">
      <c r="B5" t="s">
        <v>83</v>
      </c>
      <c r="C5" t="s">
        <v>79</v>
      </c>
      <c r="D5" t="s">
        <v>4</v>
      </c>
      <c r="F5">
        <v>62</v>
      </c>
      <c r="G5">
        <f t="shared" si="0"/>
        <v>62</v>
      </c>
    </row>
    <row r="6" spans="2:13" x14ac:dyDescent="0.25">
      <c r="C6" t="s">
        <v>84</v>
      </c>
      <c r="D6" t="s">
        <v>6</v>
      </c>
      <c r="F6">
        <v>620</v>
      </c>
      <c r="G6">
        <f t="shared" si="0"/>
        <v>620</v>
      </c>
      <c r="K6">
        <f>124/31</f>
        <v>4</v>
      </c>
    </row>
    <row r="7" spans="2:13" x14ac:dyDescent="0.25">
      <c r="C7" t="s">
        <v>85</v>
      </c>
      <c r="D7" t="s">
        <v>9</v>
      </c>
      <c r="F7">
        <v>100</v>
      </c>
      <c r="G7">
        <f t="shared" si="0"/>
        <v>100</v>
      </c>
    </row>
    <row r="8" spans="2:13" x14ac:dyDescent="0.25">
      <c r="C8" t="s">
        <v>85</v>
      </c>
      <c r="D8" t="s">
        <v>9</v>
      </c>
      <c r="F8">
        <v>65</v>
      </c>
      <c r="G8">
        <f t="shared" si="0"/>
        <v>65</v>
      </c>
    </row>
    <row r="9" spans="2:13" x14ac:dyDescent="0.25">
      <c r="B9" t="s">
        <v>3</v>
      </c>
      <c r="G9">
        <f>SUM(G2:G8)</f>
        <v>1141</v>
      </c>
    </row>
    <row r="10" spans="2:13" x14ac:dyDescent="0.25">
      <c r="M10" t="s">
        <v>47</v>
      </c>
    </row>
    <row r="13" spans="2:13" x14ac:dyDescent="0.25">
      <c r="B13" s="3" t="s">
        <v>19</v>
      </c>
      <c r="C13" s="3" t="s">
        <v>16</v>
      </c>
      <c r="D13" s="3" t="s">
        <v>18</v>
      </c>
      <c r="E13" s="3" t="s">
        <v>22</v>
      </c>
      <c r="F13" s="3" t="s">
        <v>11</v>
      </c>
      <c r="G13" s="3"/>
    </row>
    <row r="14" spans="2:13" x14ac:dyDescent="0.25">
      <c r="B14" s="4" t="s">
        <v>20</v>
      </c>
      <c r="C14" s="4">
        <f>740/1000</f>
        <v>0.74</v>
      </c>
      <c r="D14" s="4">
        <f>SUM(G2:G6)*C14</f>
        <v>722.24</v>
      </c>
      <c r="E14" s="4">
        <v>36</v>
      </c>
      <c r="F14" s="4">
        <v>3</v>
      </c>
      <c r="G14" s="4">
        <f>E14*F14</f>
        <v>108</v>
      </c>
    </row>
    <row r="15" spans="2:13" x14ac:dyDescent="0.25">
      <c r="B15" s="4" t="s">
        <v>21</v>
      </c>
      <c r="C15" s="4">
        <f>30/1000</f>
        <v>0.03</v>
      </c>
      <c r="D15" s="4">
        <f>SUM(G2:G6)*C15</f>
        <v>29.279999999999998</v>
      </c>
      <c r="E15" s="4">
        <v>1</v>
      </c>
      <c r="F15" s="4">
        <v>42</v>
      </c>
      <c r="G15" s="4">
        <f t="shared" ref="G15:G18" si="1">E15*F15</f>
        <v>42</v>
      </c>
    </row>
    <row r="16" spans="2:13" x14ac:dyDescent="0.25">
      <c r="B16" s="4" t="s">
        <v>10</v>
      </c>
      <c r="C16" s="4">
        <f>330/1000</f>
        <v>0.33</v>
      </c>
      <c r="D16" s="4">
        <f>SUM(G2:G6)*C16</f>
        <v>322.08000000000004</v>
      </c>
      <c r="E16" s="4">
        <v>6</v>
      </c>
      <c r="F16" s="4">
        <v>36</v>
      </c>
      <c r="G16" s="4">
        <f t="shared" si="1"/>
        <v>216</v>
      </c>
    </row>
    <row r="17" spans="2:7" x14ac:dyDescent="0.25">
      <c r="B17" s="4" t="s">
        <v>34</v>
      </c>
      <c r="C17" s="4"/>
      <c r="D17" s="4">
        <v>165</v>
      </c>
      <c r="E17" s="4">
        <v>3</v>
      </c>
      <c r="F17" s="4">
        <v>32</v>
      </c>
      <c r="G17" s="4">
        <f t="shared" si="1"/>
        <v>96</v>
      </c>
    </row>
    <row r="18" spans="2:7" x14ac:dyDescent="0.25">
      <c r="B18" s="4" t="s">
        <v>17</v>
      </c>
      <c r="C18" s="4"/>
      <c r="D18" s="4"/>
      <c r="E18" s="4">
        <v>2</v>
      </c>
      <c r="F18" s="4">
        <v>15</v>
      </c>
      <c r="G18" s="4">
        <f t="shared" si="1"/>
        <v>30</v>
      </c>
    </row>
    <row r="19" spans="2:7" x14ac:dyDescent="0.25">
      <c r="B19" s="4" t="s">
        <v>12</v>
      </c>
      <c r="C19" s="4"/>
      <c r="D19" s="4"/>
      <c r="E19" s="4"/>
      <c r="F19" s="4"/>
      <c r="G19" s="4">
        <v>20</v>
      </c>
    </row>
    <row r="20" spans="2:7" x14ac:dyDescent="0.25">
      <c r="B20" s="4" t="s">
        <v>13</v>
      </c>
      <c r="C20" s="4"/>
      <c r="D20" s="4"/>
      <c r="E20" s="4"/>
      <c r="F20" s="4"/>
      <c r="G20" s="4">
        <f>85*2</f>
        <v>170</v>
      </c>
    </row>
    <row r="21" spans="2:7" x14ac:dyDescent="0.25">
      <c r="B21" s="4" t="s">
        <v>14</v>
      </c>
      <c r="C21" s="4"/>
      <c r="D21" s="4"/>
      <c r="E21" s="4"/>
      <c r="F21" s="4"/>
      <c r="G21" s="4">
        <v>30</v>
      </c>
    </row>
    <row r="22" spans="2:7" x14ac:dyDescent="0.25">
      <c r="B22" s="4" t="s">
        <v>15</v>
      </c>
      <c r="C22" s="4"/>
      <c r="D22" s="4"/>
      <c r="E22" s="4"/>
      <c r="F22" s="4"/>
      <c r="G22" s="4">
        <v>60</v>
      </c>
    </row>
    <row r="23" spans="2:7" x14ac:dyDescent="0.25">
      <c r="G23" s="2">
        <f>SUM(G14:G22)</f>
        <v>772</v>
      </c>
    </row>
    <row r="24" spans="2:7" x14ac:dyDescent="0.25">
      <c r="B24" s="10" t="s">
        <v>73</v>
      </c>
      <c r="C24" s="11"/>
      <c r="D24" s="12"/>
      <c r="E24" s="3" t="s">
        <v>23</v>
      </c>
      <c r="F24" s="3" t="s">
        <v>25</v>
      </c>
      <c r="G24" s="3" t="s">
        <v>24</v>
      </c>
    </row>
    <row r="25" spans="2:7" x14ac:dyDescent="0.25">
      <c r="B25" s="4" t="s">
        <v>26</v>
      </c>
      <c r="C25" s="4" t="s">
        <v>49</v>
      </c>
      <c r="D25" s="4"/>
      <c r="E25" s="4">
        <f>36*4</f>
        <v>144</v>
      </c>
      <c r="F25" s="4">
        <v>0</v>
      </c>
      <c r="G25" s="4">
        <v>0</v>
      </c>
    </row>
    <row r="26" spans="2:7" x14ac:dyDescent="0.25">
      <c r="B26" s="4" t="s">
        <v>27</v>
      </c>
      <c r="C26" s="4" t="s">
        <v>50</v>
      </c>
      <c r="D26" s="4"/>
      <c r="E26" s="4">
        <v>0</v>
      </c>
      <c r="F26" s="4">
        <v>42</v>
      </c>
      <c r="G26" s="4">
        <v>0</v>
      </c>
    </row>
    <row r="27" spans="2:7" x14ac:dyDescent="0.25">
      <c r="B27" s="4" t="s">
        <v>28</v>
      </c>
      <c r="C27" s="4" t="s">
        <v>51</v>
      </c>
      <c r="D27" s="4"/>
      <c r="E27" s="4">
        <v>0</v>
      </c>
      <c r="F27" s="4">
        <f>3*24</f>
        <v>72</v>
      </c>
      <c r="G27" s="4">
        <v>0</v>
      </c>
    </row>
    <row r="28" spans="2:7" x14ac:dyDescent="0.25">
      <c r="B28" s="4" t="s">
        <v>29</v>
      </c>
      <c r="C28" s="4" t="s">
        <v>55</v>
      </c>
      <c r="D28" s="4"/>
      <c r="E28" s="4">
        <v>0</v>
      </c>
      <c r="F28" s="4">
        <v>30</v>
      </c>
      <c r="G28" s="4">
        <v>0</v>
      </c>
    </row>
    <row r="29" spans="2:7" x14ac:dyDescent="0.25">
      <c r="B29" s="4" t="s">
        <v>30</v>
      </c>
      <c r="C29" s="4"/>
      <c r="D29" s="4"/>
      <c r="E29" s="4">
        <v>70</v>
      </c>
      <c r="F29" s="4">
        <v>0</v>
      </c>
      <c r="G29" s="4">
        <v>0</v>
      </c>
    </row>
    <row r="30" spans="2:7" x14ac:dyDescent="0.25">
      <c r="B30" s="4" t="s">
        <v>31</v>
      </c>
      <c r="C30" s="4"/>
      <c r="D30" s="4"/>
      <c r="E30" s="4">
        <v>0</v>
      </c>
      <c r="F30" s="4">
        <f>8.5+9</f>
        <v>17.5</v>
      </c>
      <c r="G30" s="4">
        <v>0</v>
      </c>
    </row>
    <row r="31" spans="2:7" x14ac:dyDescent="0.25">
      <c r="B31" s="4" t="s">
        <v>32</v>
      </c>
      <c r="C31" s="4" t="s">
        <v>52</v>
      </c>
      <c r="D31" s="4"/>
      <c r="E31" s="4">
        <v>0</v>
      </c>
      <c r="F31" s="4">
        <v>22.5</v>
      </c>
      <c r="G31" s="4">
        <v>0</v>
      </c>
    </row>
    <row r="32" spans="2:7" x14ac:dyDescent="0.25">
      <c r="B32" s="4" t="s">
        <v>15</v>
      </c>
      <c r="C32" s="4"/>
      <c r="D32" s="4"/>
      <c r="E32" s="4">
        <v>0</v>
      </c>
      <c r="F32" s="4">
        <v>60</v>
      </c>
      <c r="G32" s="4">
        <v>0</v>
      </c>
    </row>
    <row r="33" spans="2:7" x14ac:dyDescent="0.25">
      <c r="B33" s="4" t="s">
        <v>34</v>
      </c>
      <c r="C33" s="4" t="s">
        <v>53</v>
      </c>
      <c r="D33" s="4"/>
      <c r="E33" s="4">
        <v>0</v>
      </c>
      <c r="F33" s="4">
        <v>32</v>
      </c>
      <c r="G33" s="4">
        <v>0</v>
      </c>
    </row>
    <row r="34" spans="2:7" x14ac:dyDescent="0.25">
      <c r="B34" s="4" t="s">
        <v>33</v>
      </c>
      <c r="C34" s="4" t="s">
        <v>54</v>
      </c>
      <c r="D34" s="4"/>
      <c r="E34" s="4">
        <v>0</v>
      </c>
      <c r="F34" s="4">
        <v>6</v>
      </c>
      <c r="G34" s="4">
        <v>0</v>
      </c>
    </row>
    <row r="35" spans="2:7" x14ac:dyDescent="0.25">
      <c r="E35" s="2">
        <f>SUM(E25:E34)</f>
        <v>214</v>
      </c>
      <c r="F35" s="2">
        <f t="shared" ref="F35:G35" si="2">SUM(F25:F34)</f>
        <v>282</v>
      </c>
      <c r="G35" s="2">
        <f t="shared" si="2"/>
        <v>0</v>
      </c>
    </row>
  </sheetData>
  <mergeCells count="1">
    <mergeCell ref="B24:D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5FD63-5B73-448A-9507-EC5645625BC9}">
  <dimension ref="B1:M29"/>
  <sheetViews>
    <sheetView workbookViewId="0">
      <selection activeCell="C9" sqref="C9"/>
    </sheetView>
  </sheetViews>
  <sheetFormatPr defaultRowHeight="15" x14ac:dyDescent="0.25"/>
  <cols>
    <col min="2" max="2" width="38.85546875" bestFit="1" customWidth="1"/>
    <col min="3" max="3" width="18.140625" bestFit="1" customWidth="1"/>
    <col min="4" max="4" width="22.28515625" customWidth="1"/>
    <col min="5" max="5" width="19.85546875" bestFit="1" customWidth="1"/>
    <col min="6" max="6" width="17" bestFit="1" customWidth="1"/>
    <col min="7" max="7" width="11.28515625" bestFit="1" customWidth="1"/>
  </cols>
  <sheetData>
    <row r="1" spans="2:11" x14ac:dyDescent="0.25">
      <c r="B1" s="1" t="s">
        <v>60</v>
      </c>
      <c r="C1" s="1" t="s">
        <v>0</v>
      </c>
      <c r="D1" s="1" t="s">
        <v>56</v>
      </c>
      <c r="E1" s="1" t="s">
        <v>57</v>
      </c>
      <c r="F1" s="1" t="s">
        <v>58</v>
      </c>
      <c r="G1" s="1" t="s">
        <v>2</v>
      </c>
    </row>
    <row r="2" spans="2:11" x14ac:dyDescent="0.25">
      <c r="B2" s="6" t="s">
        <v>63</v>
      </c>
      <c r="C2" t="s">
        <v>74</v>
      </c>
      <c r="D2">
        <v>2</v>
      </c>
      <c r="E2">
        <v>1</v>
      </c>
      <c r="F2">
        <v>30</v>
      </c>
      <c r="G2">
        <f>D2*E2*F2</f>
        <v>60</v>
      </c>
    </row>
    <row r="3" spans="2:11" x14ac:dyDescent="0.25">
      <c r="B3" s="6" t="s">
        <v>64</v>
      </c>
      <c r="C3" t="s">
        <v>75</v>
      </c>
      <c r="D3">
        <v>2</v>
      </c>
      <c r="E3">
        <v>1</v>
      </c>
      <c r="F3">
        <v>30</v>
      </c>
      <c r="G3">
        <f t="shared" ref="G3:G6" si="0">D3*E3*F3</f>
        <v>60</v>
      </c>
    </row>
    <row r="4" spans="2:11" x14ac:dyDescent="0.25">
      <c r="B4" s="6" t="s">
        <v>61</v>
      </c>
      <c r="C4" t="s">
        <v>76</v>
      </c>
      <c r="D4">
        <v>2</v>
      </c>
      <c r="E4">
        <v>1</v>
      </c>
      <c r="F4">
        <v>30</v>
      </c>
      <c r="G4">
        <f t="shared" si="0"/>
        <v>60</v>
      </c>
    </row>
    <row r="5" spans="2:11" x14ac:dyDescent="0.25">
      <c r="B5" s="6" t="s">
        <v>71</v>
      </c>
      <c r="C5" t="s">
        <v>79</v>
      </c>
      <c r="D5">
        <v>2</v>
      </c>
      <c r="E5">
        <v>1</v>
      </c>
      <c r="F5">
        <v>30</v>
      </c>
      <c r="G5">
        <f t="shared" si="0"/>
        <v>60</v>
      </c>
      <c r="K5">
        <f>1.5*15</f>
        <v>22.5</v>
      </c>
    </row>
    <row r="6" spans="2:11" x14ac:dyDescent="0.25">
      <c r="B6" s="6" t="s">
        <v>87</v>
      </c>
      <c r="C6" t="s">
        <v>84</v>
      </c>
      <c r="D6">
        <v>0.5</v>
      </c>
      <c r="E6">
        <v>20</v>
      </c>
      <c r="F6">
        <v>30</v>
      </c>
      <c r="G6">
        <f t="shared" si="0"/>
        <v>300</v>
      </c>
      <c r="K6">
        <v>20</v>
      </c>
    </row>
    <row r="7" spans="2:11" x14ac:dyDescent="0.25">
      <c r="B7" s="6" t="s">
        <v>86</v>
      </c>
      <c r="C7" t="s">
        <v>85</v>
      </c>
      <c r="D7">
        <v>2</v>
      </c>
      <c r="E7">
        <v>20</v>
      </c>
      <c r="F7" t="s">
        <v>62</v>
      </c>
      <c r="G7">
        <f>600+450</f>
        <v>1050</v>
      </c>
      <c r="K7">
        <f>K5*K6</f>
        <v>450</v>
      </c>
    </row>
    <row r="8" spans="2:11" x14ac:dyDescent="0.25">
      <c r="B8" t="s">
        <v>3</v>
      </c>
      <c r="G8">
        <f>SUM(G2:G7)</f>
        <v>1590</v>
      </c>
    </row>
    <row r="10" spans="2:11" x14ac:dyDescent="0.25">
      <c r="K10">
        <f>1176.6/20</f>
        <v>58.83</v>
      </c>
    </row>
    <row r="12" spans="2:11" x14ac:dyDescent="0.25">
      <c r="B12" s="3" t="s">
        <v>19</v>
      </c>
      <c r="C12" s="3" t="s">
        <v>16</v>
      </c>
      <c r="D12" s="3" t="s">
        <v>18</v>
      </c>
      <c r="E12" s="3" t="s">
        <v>22</v>
      </c>
      <c r="F12" s="3" t="s">
        <v>11</v>
      </c>
      <c r="G12" s="3"/>
    </row>
    <row r="13" spans="2:11" x14ac:dyDescent="0.25">
      <c r="B13" s="4" t="s">
        <v>20</v>
      </c>
      <c r="C13" s="4">
        <f>740/1000</f>
        <v>0.74</v>
      </c>
      <c r="D13" s="4">
        <f>G8*C13</f>
        <v>1176.5999999999999</v>
      </c>
      <c r="E13" s="4">
        <v>59</v>
      </c>
      <c r="F13" s="4">
        <v>3</v>
      </c>
      <c r="G13" s="4">
        <f>E13*F13</f>
        <v>177</v>
      </c>
    </row>
    <row r="14" spans="2:11" x14ac:dyDescent="0.25">
      <c r="B14" s="4" t="s">
        <v>21</v>
      </c>
      <c r="C14" s="4">
        <f>30/1000</f>
        <v>0.03</v>
      </c>
      <c r="D14" s="4">
        <f>G8*C14</f>
        <v>47.699999999999996</v>
      </c>
      <c r="E14" s="4">
        <v>1.5</v>
      </c>
      <c r="F14" s="4">
        <v>42</v>
      </c>
      <c r="G14" s="4">
        <f t="shared" ref="G14:G16" si="1">E14*F14</f>
        <v>63</v>
      </c>
    </row>
    <row r="15" spans="2:11" x14ac:dyDescent="0.25">
      <c r="B15" s="4" t="s">
        <v>10</v>
      </c>
      <c r="C15" s="4">
        <f>330/1000</f>
        <v>0.33</v>
      </c>
      <c r="D15" s="4">
        <f>G8*C15</f>
        <v>524.70000000000005</v>
      </c>
      <c r="E15" s="4">
        <v>10</v>
      </c>
      <c r="F15" s="4">
        <v>36</v>
      </c>
      <c r="G15" s="4">
        <f t="shared" si="1"/>
        <v>360</v>
      </c>
    </row>
    <row r="16" spans="2:11" x14ac:dyDescent="0.25">
      <c r="B16" s="4" t="s">
        <v>17</v>
      </c>
      <c r="C16" s="4"/>
      <c r="D16" s="4"/>
      <c r="E16" s="4">
        <v>2</v>
      </c>
      <c r="F16" s="4">
        <v>15</v>
      </c>
      <c r="G16" s="4">
        <f t="shared" si="1"/>
        <v>30</v>
      </c>
      <c r="K16">
        <f>36*3</f>
        <v>108</v>
      </c>
    </row>
    <row r="17" spans="2:13" x14ac:dyDescent="0.25">
      <c r="B17" s="4" t="s">
        <v>59</v>
      </c>
      <c r="C17" s="4"/>
      <c r="D17" s="4"/>
      <c r="E17" s="4"/>
      <c r="F17" s="4"/>
      <c r="G17" s="4">
        <v>185</v>
      </c>
    </row>
    <row r="18" spans="2:13" x14ac:dyDescent="0.25">
      <c r="B18" s="4" t="s">
        <v>15</v>
      </c>
      <c r="C18" s="4"/>
      <c r="D18" s="4"/>
      <c r="E18" s="4"/>
      <c r="F18" s="4"/>
      <c r="G18" s="4">
        <v>60</v>
      </c>
    </row>
    <row r="19" spans="2:13" x14ac:dyDescent="0.25">
      <c r="G19" s="2">
        <f>SUM(G13:G18)</f>
        <v>875</v>
      </c>
      <c r="M19">
        <f>5*6</f>
        <v>30</v>
      </c>
    </row>
    <row r="20" spans="2:13" x14ac:dyDescent="0.25">
      <c r="B20" s="10" t="s">
        <v>72</v>
      </c>
      <c r="C20" s="11"/>
      <c r="D20" s="12"/>
      <c r="E20" s="3" t="s">
        <v>23</v>
      </c>
      <c r="F20" s="3" t="s">
        <v>25</v>
      </c>
      <c r="G20" s="3" t="s">
        <v>24</v>
      </c>
    </row>
    <row r="21" spans="2:13" x14ac:dyDescent="0.25">
      <c r="B21" s="4" t="s">
        <v>26</v>
      </c>
      <c r="C21" s="4" t="s">
        <v>66</v>
      </c>
      <c r="D21" s="4"/>
      <c r="E21" s="4">
        <f>36*4</f>
        <v>144</v>
      </c>
      <c r="F21" s="4">
        <v>36</v>
      </c>
      <c r="G21" s="4">
        <v>0</v>
      </c>
      <c r="K21">
        <f>18*20</f>
        <v>360</v>
      </c>
    </row>
    <row r="22" spans="2:13" x14ac:dyDescent="0.25">
      <c r="B22" s="4" t="s">
        <v>27</v>
      </c>
      <c r="C22" s="4" t="s">
        <v>65</v>
      </c>
      <c r="D22" s="4"/>
      <c r="E22" s="4">
        <v>0</v>
      </c>
      <c r="F22" s="4">
        <f>21+46</f>
        <v>67</v>
      </c>
      <c r="G22" s="4">
        <v>0</v>
      </c>
    </row>
    <row r="23" spans="2:13" x14ac:dyDescent="0.25">
      <c r="B23" s="4" t="s">
        <v>28</v>
      </c>
      <c r="C23" s="4" t="s">
        <v>69</v>
      </c>
      <c r="D23" s="4"/>
      <c r="E23" s="4">
        <v>0</v>
      </c>
      <c r="F23" s="4">
        <f>36*3</f>
        <v>108</v>
      </c>
      <c r="G23" s="4">
        <v>0</v>
      </c>
    </row>
    <row r="24" spans="2:13" x14ac:dyDescent="0.25">
      <c r="B24" s="4" t="s">
        <v>29</v>
      </c>
      <c r="C24" s="4" t="s">
        <v>55</v>
      </c>
      <c r="D24" s="4"/>
      <c r="E24" s="4">
        <v>0</v>
      </c>
      <c r="F24" s="4">
        <v>30</v>
      </c>
      <c r="G24" s="4">
        <v>0</v>
      </c>
    </row>
    <row r="25" spans="2:13" x14ac:dyDescent="0.25">
      <c r="B25" s="4" t="s">
        <v>68</v>
      </c>
      <c r="C25" s="4"/>
      <c r="D25" s="4"/>
      <c r="E25" s="4">
        <v>0</v>
      </c>
      <c r="F25" s="4">
        <v>6</v>
      </c>
      <c r="G25" s="4">
        <v>0</v>
      </c>
    </row>
    <row r="26" spans="2:13" x14ac:dyDescent="0.25">
      <c r="B26" s="4" t="s">
        <v>67</v>
      </c>
      <c r="C26" s="4"/>
      <c r="D26" s="4"/>
      <c r="E26" s="4">
        <v>0</v>
      </c>
      <c r="F26" s="4">
        <v>7</v>
      </c>
      <c r="G26" s="4">
        <v>0</v>
      </c>
    </row>
    <row r="27" spans="2:13" x14ac:dyDescent="0.25">
      <c r="B27" s="4" t="s">
        <v>30</v>
      </c>
      <c r="C27" s="4"/>
      <c r="D27" s="4"/>
      <c r="E27" s="4">
        <v>0</v>
      </c>
      <c r="F27" s="4">
        <v>0</v>
      </c>
      <c r="G27" s="4">
        <v>100</v>
      </c>
    </row>
    <row r="28" spans="2:13" x14ac:dyDescent="0.25">
      <c r="B28" s="4" t="s">
        <v>15</v>
      </c>
      <c r="C28" s="4"/>
      <c r="D28" s="4"/>
      <c r="E28" s="4">
        <v>0</v>
      </c>
      <c r="F28" s="4">
        <v>10</v>
      </c>
      <c r="G28" s="4">
        <v>50</v>
      </c>
    </row>
    <row r="29" spans="2:13" x14ac:dyDescent="0.25">
      <c r="E29" s="2">
        <f>SUM(E21:E28)</f>
        <v>144</v>
      </c>
      <c r="F29" s="2">
        <f>SUM(F21:F28)</f>
        <v>264</v>
      </c>
      <c r="G29" s="2">
        <f>SUM(G21:G28)</f>
        <v>150</v>
      </c>
    </row>
  </sheetData>
  <mergeCells count="1">
    <mergeCell ref="B20:D20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September Expenses</vt:lpstr>
      <vt:lpstr>October Expenses </vt:lpstr>
      <vt:lpstr>November Expenses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Makanda</cp:lastModifiedBy>
  <dcterms:created xsi:type="dcterms:W3CDTF">2025-09-24T13:55:26Z</dcterms:created>
  <dcterms:modified xsi:type="dcterms:W3CDTF">2025-11-22T10:58:04Z</dcterms:modified>
</cp:coreProperties>
</file>